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taro\AppData\LocalLow\TheFarmerWasReplaced\TheFarmerWasReplaced\Saves\Save0\"/>
    </mc:Choice>
  </mc:AlternateContent>
  <xr:revisionPtr revIDLastSave="0" documentId="13_ncr:9_{FC79136A-F0D3-48B1-839A-E1E82E241959}" xr6:coauthVersionLast="47" xr6:coauthVersionMax="47" xr10:uidLastSave="{00000000-0000-0000-0000-000000000000}"/>
  <bookViews>
    <workbookView xWindow="-25305" yWindow="2910" windowWidth="21600" windowHeight="11295" xr2:uid="{746CE067-3197-42F6-BDA0-A9216F3D166D}"/>
  </bookViews>
  <sheets>
    <sheet name="unlock_list" sheetId="2" r:id="rId1"/>
  </sheets>
  <definedNames>
    <definedName name="_xlnm._FilterDatabase" localSheetId="0" hidden="1">unlock_list!$A$1:$N$99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 a="1"/>
  <c r="N3" i="2" s="1"/>
  <c r="N4" i="2" a="1"/>
  <c r="N4" i="2" s="1"/>
  <c r="N5" i="2" a="1"/>
  <c r="N5" i="2" s="1"/>
  <c r="N6" i="2" a="1"/>
  <c r="N6" i="2"/>
  <c r="N7" i="2" a="1"/>
  <c r="N7" i="2"/>
  <c r="N8" i="2" a="1"/>
  <c r="N8" i="2"/>
  <c r="N9" i="2" a="1"/>
  <c r="N9" i="2" s="1"/>
  <c r="N10" i="2" a="1"/>
  <c r="N10" i="2" s="1"/>
  <c r="N11" i="2" a="1"/>
  <c r="N11" i="2" s="1"/>
  <c r="N12" i="2" a="1"/>
  <c r="N12" i="2"/>
  <c r="N13" i="2" a="1"/>
  <c r="N13" i="2"/>
  <c r="N14" i="2" a="1"/>
  <c r="N14" i="2"/>
  <c r="N15" i="2" a="1"/>
  <c r="N15" i="2" s="1"/>
  <c r="N16" i="2" a="1"/>
  <c r="N16" i="2" s="1"/>
  <c r="N17" i="2" a="1"/>
  <c r="N17" i="2" s="1"/>
  <c r="N18" i="2" a="1"/>
  <c r="N18" i="2"/>
  <c r="N19" i="2" a="1"/>
  <c r="N19" i="2"/>
  <c r="N20" i="2" a="1"/>
  <c r="N20" i="2"/>
  <c r="N21" i="2" a="1"/>
  <c r="N21" i="2" s="1"/>
  <c r="N22" i="2" a="1"/>
  <c r="N22" i="2" s="1"/>
  <c r="N23" i="2" a="1"/>
  <c r="N23" i="2" s="1"/>
  <c r="N24" i="2" a="1"/>
  <c r="N24" i="2"/>
  <c r="N25" i="2" a="1"/>
  <c r="N25" i="2"/>
  <c r="N26" i="2" a="1"/>
  <c r="N26" i="2"/>
  <c r="N27" i="2" a="1"/>
  <c r="N27" i="2" s="1"/>
  <c r="N28" i="2" a="1"/>
  <c r="N28" i="2" s="1"/>
  <c r="N29" i="2" a="1"/>
  <c r="N29" i="2" s="1"/>
  <c r="N30" i="2" a="1"/>
  <c r="N30" i="2"/>
  <c r="N31" i="2" a="1"/>
  <c r="N31" i="2"/>
  <c r="N32" i="2" a="1"/>
  <c r="N32" i="2"/>
  <c r="N33" i="2" a="1"/>
  <c r="N33" i="2" s="1"/>
  <c r="N34" i="2" a="1"/>
  <c r="N34" i="2" s="1"/>
  <c r="N35" i="2" a="1"/>
  <c r="N35" i="2" s="1"/>
  <c r="N36" i="2" a="1"/>
  <c r="N36" i="2"/>
  <c r="N37" i="2" a="1"/>
  <c r="N37" i="2"/>
  <c r="N38" i="2" a="1"/>
  <c r="N38" i="2"/>
  <c r="N39" i="2" a="1"/>
  <c r="N39" i="2" s="1"/>
  <c r="N40" i="2" a="1"/>
  <c r="N40" i="2" s="1"/>
  <c r="N41" i="2" a="1"/>
  <c r="N41" i="2" s="1"/>
  <c r="N42" i="2" a="1"/>
  <c r="N42" i="2"/>
  <c r="N43" i="2" a="1"/>
  <c r="N43" i="2"/>
  <c r="N44" i="2" a="1"/>
  <c r="N44" i="2"/>
  <c r="N45" i="2" a="1"/>
  <c r="N45" i="2" s="1"/>
  <c r="N46" i="2" a="1"/>
  <c r="N46" i="2" s="1"/>
  <c r="N47" i="2" a="1"/>
  <c r="N47" i="2" s="1"/>
  <c r="N48" i="2" a="1"/>
  <c r="N48" i="2"/>
  <c r="N49" i="2" a="1"/>
  <c r="N49" i="2"/>
  <c r="N50" i="2" a="1"/>
  <c r="N50" i="2"/>
  <c r="N51" i="2" a="1"/>
  <c r="N51" i="2" s="1"/>
  <c r="N52" i="2" a="1"/>
  <c r="N52" i="2" s="1"/>
  <c r="N53" i="2" a="1"/>
  <c r="N53" i="2" s="1"/>
  <c r="N54" i="2" a="1"/>
  <c r="N54" i="2"/>
  <c r="N55" i="2" a="1"/>
  <c r="N55" i="2"/>
  <c r="N56" i="2" a="1"/>
  <c r="N56" i="2"/>
  <c r="N57" i="2" a="1"/>
  <c r="N57" i="2" s="1"/>
  <c r="N58" i="2" a="1"/>
  <c r="N58" i="2" s="1"/>
  <c r="N59" i="2" a="1"/>
  <c r="N59" i="2" s="1"/>
  <c r="N60" i="2" a="1"/>
  <c r="N60" i="2"/>
  <c r="N61" i="2" a="1"/>
  <c r="N61" i="2"/>
  <c r="N62" i="2" a="1"/>
  <c r="N62" i="2"/>
  <c r="N63" i="2" a="1"/>
  <c r="N63" i="2" s="1"/>
  <c r="N64" i="2" a="1"/>
  <c r="N64" i="2" s="1"/>
  <c r="N65" i="2" a="1"/>
  <c r="N65" i="2" s="1"/>
  <c r="N66" i="2" a="1"/>
  <c r="N66" i="2"/>
  <c r="N67" i="2" a="1"/>
  <c r="N67" i="2" s="1"/>
  <c r="N68" i="2" a="1"/>
  <c r="N68" i="2"/>
  <c r="N69" i="2" a="1"/>
  <c r="N69" i="2" s="1"/>
  <c r="N70" i="2" a="1"/>
  <c r="N70" i="2" s="1"/>
  <c r="N71" i="2" a="1"/>
  <c r="N71" i="2" s="1"/>
  <c r="N72" i="2" a="1"/>
  <c r="N72" i="2" s="1"/>
  <c r="N73" i="2" a="1"/>
  <c r="N73" i="2"/>
  <c r="N74" i="2" a="1"/>
  <c r="N74" i="2"/>
  <c r="N75" i="2" a="1"/>
  <c r="N75" i="2" s="1"/>
  <c r="N76" i="2" a="1"/>
  <c r="N76" i="2" s="1"/>
  <c r="N77" i="2" a="1"/>
  <c r="N77" i="2" s="1"/>
  <c r="N78" i="2" a="1"/>
  <c r="N78" i="2" s="1"/>
  <c r="N79" i="2" a="1"/>
  <c r="N79" i="2" s="1"/>
  <c r="N80" i="2" a="1"/>
  <c r="N80" i="2"/>
  <c r="N81" i="2" a="1"/>
  <c r="N81" i="2" s="1"/>
  <c r="N82" i="2" a="1"/>
  <c r="N82" i="2" s="1"/>
  <c r="N83" i="2" a="1"/>
  <c r="N83" i="2" s="1"/>
  <c r="N84" i="2" a="1"/>
  <c r="N84" i="2" s="1"/>
  <c r="N85" i="2" a="1"/>
  <c r="N85" i="2" s="1"/>
  <c r="N86" i="2" a="1"/>
  <c r="N86" i="2" s="1"/>
  <c r="N87" i="2" a="1"/>
  <c r="N87" i="2" s="1"/>
  <c r="N88" i="2" a="1"/>
  <c r="N88" i="2" s="1"/>
  <c r="N89" i="2" a="1"/>
  <c r="N89" i="2" s="1"/>
  <c r="N90" i="2" a="1"/>
  <c r="N90" i="2" s="1"/>
  <c r="N91" i="2" a="1"/>
  <c r="N91" i="2" s="1"/>
  <c r="N92" i="2" a="1"/>
  <c r="N92" i="2" s="1"/>
  <c r="N93" i="2" a="1"/>
  <c r="N93" i="2" s="1"/>
  <c r="N94" i="2" a="1"/>
  <c r="N94" i="2" s="1"/>
  <c r="N95" i="2" a="1"/>
  <c r="N95" i="2" s="1"/>
  <c r="N96" i="2" a="1"/>
  <c r="N96" i="2" s="1"/>
  <c r="N97" i="2" a="1"/>
  <c r="N97" i="2" s="1"/>
  <c r="N98" i="2" a="1"/>
  <c r="N98" i="2" s="1"/>
  <c r="N99" i="2" a="1"/>
  <c r="N99" i="2" s="1"/>
  <c r="N2" i="2" a="1"/>
  <c r="N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<sst xmlns="http://schemas.openxmlformats.org/spreadsheetml/2006/main" count="112" uniqueCount="31">
  <si>
    <t>Unlocks</t>
    <phoneticPr fontId="1"/>
  </si>
  <si>
    <t>total</t>
    <phoneticPr fontId="1"/>
  </si>
  <si>
    <t>Hay</t>
    <phoneticPr fontId="1"/>
  </si>
  <si>
    <t>Wood</t>
    <phoneticPr fontId="1"/>
  </si>
  <si>
    <t>Carrot</t>
    <phoneticPr fontId="1"/>
  </si>
  <si>
    <t>Pumpkin</t>
    <phoneticPr fontId="1"/>
  </si>
  <si>
    <t>Gold</t>
    <phoneticPr fontId="1"/>
  </si>
  <si>
    <t>Cactus</t>
    <phoneticPr fontId="1"/>
  </si>
  <si>
    <t>Bone</t>
    <phoneticPr fontId="1"/>
  </si>
  <si>
    <t>Unlocks.Cactus</t>
  </si>
  <si>
    <t>Unlocks.Carrots</t>
  </si>
  <si>
    <t>Unlocks.Dinosaurs</t>
  </si>
  <si>
    <t>Unlocks.Expand</t>
  </si>
  <si>
    <t>Unlocks.Fertilizer</t>
  </si>
  <si>
    <t>Unlocks.Grass</t>
  </si>
  <si>
    <t>Unlocks.Leaderboard</t>
  </si>
  <si>
    <t>Unlocks.Mazes</t>
  </si>
  <si>
    <t>Unlocks.Megafarm</t>
  </si>
  <si>
    <t>Unlocks.Plant</t>
  </si>
  <si>
    <t>Unlocks.Polyculture</t>
  </si>
  <si>
    <t>Unlocks.Pumpkins</t>
  </si>
  <si>
    <t>Unlocks.Speed</t>
  </si>
  <si>
    <t>Unlocks.Sunflowers</t>
  </si>
  <si>
    <t>Unlocks.Trees</t>
  </si>
  <si>
    <t>Unlocks.Watering</t>
  </si>
  <si>
    <t>Weird_Substance</t>
  </si>
  <si>
    <t>index</t>
    <phoneticPr fontId="1"/>
  </si>
  <si>
    <t>check</t>
    <phoneticPr fontId="1"/>
  </si>
  <si>
    <t>order</t>
    <phoneticPr fontId="1"/>
  </si>
  <si>
    <t>default_index</t>
    <phoneticPr fontId="1"/>
  </si>
  <si>
    <t>Unlocks.Megafarm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</si>
</sst>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A1CAB-E595-4E15-A51F-59E58A23057E}">
  <dimension ref="A1:N9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8.75" x14ac:dyDescent="0.4"/>
  <cols>
    <col min="1" max="1" width="19.25" customWidth="1"/>
    <col min="11" max="11" width="12.125" customWidth="1"/>
    <col min="13" max="13" width="8.5" customWidth="1"/>
  </cols>
  <sheetData>
    <row r="1" spans="1:14" x14ac:dyDescent="0.4">
      <c r="A1" t="s">
        <v>0</v>
      </c>
      <c r="B1" t="s">
        <v>28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  <c r="I1" t="s">
        <v>8</v>
      </c>
      <c r="J1" t="s">
        <v>25</v>
      </c>
      <c r="K1" t="s">
        <v>1</v>
      </c>
      <c r="L1" t="s">
        <v>26</v>
      </c>
      <c r="M1" t="s">
        <v>29</v>
      </c>
      <c r="N1" t="s">
        <v>27</v>
      </c>
    </row>
    <row r="2" spans="1:14" x14ac:dyDescent="0.4">
      <c r="A2" t="s">
        <v>21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20</v>
      </c>
      <c r="L2">
        <v>1</v>
      </c>
      <c r="M2">
        <v>74</v>
      </c>
      <c r="N2" t="b" cm="1">
        <f t="array" ref="N2">_xlfn.XLOOKUP($A2,$A$1:$A1,$B$1:$B1,-1,0,-1)&lt;B2</f>
        <v>1</v>
      </c>
    </row>
    <row r="3" spans="1:14" x14ac:dyDescent="0.4">
      <c r="A3" t="s">
        <v>18</v>
      </c>
      <c r="B3">
        <v>0</v>
      </c>
      <c r="C3">
        <v>50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50</v>
      </c>
      <c r="L3">
        <v>2</v>
      </c>
      <c r="M3">
        <v>58</v>
      </c>
      <c r="N3" t="b" cm="1">
        <f t="array" ref="N3">_xlfn.XLOOKUP($A3,$A$1:$A2,$B$1:$B2,-1,0,-1)&lt;B3</f>
        <v>1</v>
      </c>
    </row>
    <row r="4" spans="1:14" x14ac:dyDescent="0.4">
      <c r="A4" t="s">
        <v>12</v>
      </c>
      <c r="B4">
        <v>0</v>
      </c>
      <c r="C4">
        <v>30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30</v>
      </c>
      <c r="L4">
        <v>3</v>
      </c>
      <c r="M4">
        <v>23</v>
      </c>
      <c r="N4" t="b" cm="1">
        <f t="array" ref="N4">_xlfn.XLOOKUP($A4,$A$1:$A3,$B$1:$B3,-1,0,-1)&lt;B4</f>
        <v>1</v>
      </c>
    </row>
    <row r="5" spans="1:14" x14ac:dyDescent="0.4">
      <c r="A5" t="s">
        <v>12</v>
      </c>
      <c r="B5">
        <v>1</v>
      </c>
      <c r="C5">
        <v>0</v>
      </c>
      <c r="D5">
        <v>20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20</v>
      </c>
      <c r="L5">
        <v>4</v>
      </c>
      <c r="M5">
        <v>24</v>
      </c>
      <c r="N5" t="b" cm="1">
        <f t="array" ref="N5">_xlfn.XLOOKUP($A5,$A$1:$A4,$B$1:$B4,-1,0,-1)&lt;B5</f>
        <v>1</v>
      </c>
    </row>
    <row r="6" spans="1:14" x14ac:dyDescent="0.4">
      <c r="A6" t="s">
        <v>21</v>
      </c>
      <c r="B6">
        <v>1</v>
      </c>
      <c r="C6">
        <v>0</v>
      </c>
      <c r="D6">
        <v>20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20</v>
      </c>
      <c r="L6">
        <v>5</v>
      </c>
      <c r="M6">
        <v>75</v>
      </c>
      <c r="N6" t="b" cm="1">
        <f t="array" ref="N6">_xlfn.XLOOKUP($A6,$A$1:$A5,$B$1:$B5,-1,0,-1)&lt;B6</f>
        <v>1</v>
      </c>
    </row>
    <row r="7" spans="1:14" x14ac:dyDescent="0.4">
      <c r="A7" t="s">
        <v>24</v>
      </c>
      <c r="B7">
        <v>0</v>
      </c>
      <c r="C7">
        <v>0</v>
      </c>
      <c r="D7">
        <v>50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50</v>
      </c>
      <c r="L7">
        <v>6</v>
      </c>
      <c r="M7">
        <v>90</v>
      </c>
      <c r="N7" t="b" cm="1">
        <f t="array" ref="N7">_xlfn.XLOOKUP($A7,$A$1:$A6,$B$1:$B6,-1,0,-1)&lt;B7</f>
        <v>1</v>
      </c>
    </row>
    <row r="8" spans="1:14" x14ac:dyDescent="0.4">
      <c r="A8" t="s">
        <v>10</v>
      </c>
      <c r="B8">
        <v>0</v>
      </c>
      <c r="C8">
        <v>0</v>
      </c>
      <c r="D8">
        <v>50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50</v>
      </c>
      <c r="L8">
        <v>7</v>
      </c>
      <c r="M8">
        <v>7</v>
      </c>
      <c r="N8" t="b" cm="1">
        <f t="array" ref="N8">_xlfn.XLOOKUP($A8,$A$1:$A7,$B$1:$B7,-1,0,-1)&lt;B8</f>
        <v>1</v>
      </c>
    </row>
    <row r="9" spans="1:14" x14ac:dyDescent="0.4">
      <c r="A9" t="s">
        <v>12</v>
      </c>
      <c r="B9">
        <v>2</v>
      </c>
      <c r="C9">
        <v>0</v>
      </c>
      <c r="D9">
        <v>30</v>
      </c>
      <c r="E9">
        <v>20</v>
      </c>
      <c r="F9">
        <v>0</v>
      </c>
      <c r="G9">
        <v>0</v>
      </c>
      <c r="H9">
        <v>0</v>
      </c>
      <c r="I9">
        <v>0</v>
      </c>
      <c r="J9">
        <v>0</v>
      </c>
      <c r="K9">
        <v>50</v>
      </c>
      <c r="L9">
        <v>8</v>
      </c>
      <c r="M9">
        <v>25</v>
      </c>
      <c r="N9" t="b" cm="1">
        <f t="array" ref="N9">_xlfn.XLOOKUP($A9,$A$1:$A8,$B$1:$B8,-1,0,-1)&lt;B9</f>
        <v>1</v>
      </c>
    </row>
    <row r="10" spans="1:14" x14ac:dyDescent="0.4">
      <c r="A10" t="s">
        <v>21</v>
      </c>
      <c r="B10">
        <v>2</v>
      </c>
      <c r="C10">
        <v>0</v>
      </c>
      <c r="D10">
        <v>50</v>
      </c>
      <c r="E10">
        <v>50</v>
      </c>
      <c r="F10">
        <v>0</v>
      </c>
      <c r="G10">
        <v>0</v>
      </c>
      <c r="H10">
        <v>0</v>
      </c>
      <c r="I10">
        <v>0</v>
      </c>
      <c r="J10">
        <v>0</v>
      </c>
      <c r="K10">
        <v>100</v>
      </c>
      <c r="L10">
        <v>9</v>
      </c>
      <c r="M10">
        <v>76</v>
      </c>
      <c r="N10" t="b" cm="1">
        <f t="array" ref="N10">_xlfn.XLOOKUP($A10,$A$1:$A9,$B$1:$B9,-1,0,-1)&lt;B10</f>
        <v>1</v>
      </c>
    </row>
    <row r="11" spans="1:14" x14ac:dyDescent="0.4">
      <c r="A11" t="s">
        <v>23</v>
      </c>
      <c r="B11">
        <v>0</v>
      </c>
      <c r="C11">
        <v>0</v>
      </c>
      <c r="D11">
        <v>50</v>
      </c>
      <c r="E11">
        <v>70</v>
      </c>
      <c r="F11">
        <v>0</v>
      </c>
      <c r="G11">
        <v>0</v>
      </c>
      <c r="H11">
        <v>0</v>
      </c>
      <c r="I11">
        <v>0</v>
      </c>
      <c r="J11">
        <v>0</v>
      </c>
      <c r="K11">
        <v>120</v>
      </c>
      <c r="L11">
        <v>10</v>
      </c>
      <c r="M11">
        <v>80</v>
      </c>
      <c r="N11" t="b" cm="1">
        <f t="array" ref="N11">_xlfn.XLOOKUP($A11,$A$1:$A10,$B$1:$B10,-1,0,-1)&lt;B11</f>
        <v>1</v>
      </c>
    </row>
    <row r="12" spans="1:14" x14ac:dyDescent="0.4">
      <c r="A12" t="s">
        <v>14</v>
      </c>
      <c r="B12">
        <v>0</v>
      </c>
      <c r="C12">
        <v>100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100</v>
      </c>
      <c r="L12">
        <v>11</v>
      </c>
      <c r="M12">
        <v>36</v>
      </c>
      <c r="N12" t="b" cm="1">
        <f t="array" ref="N12">_xlfn.XLOOKUP($A12,$A$1:$A11,$B$1:$B11,-1,0,-1)&lt;B12</f>
        <v>1</v>
      </c>
    </row>
    <row r="13" spans="1:14" x14ac:dyDescent="0.4">
      <c r="A13" t="s">
        <v>12</v>
      </c>
      <c r="B13">
        <v>3</v>
      </c>
      <c r="C13">
        <v>0</v>
      </c>
      <c r="D13">
        <v>100</v>
      </c>
      <c r="E13">
        <v>50</v>
      </c>
      <c r="F13">
        <v>0</v>
      </c>
      <c r="G13">
        <v>0</v>
      </c>
      <c r="H13">
        <v>0</v>
      </c>
      <c r="I13">
        <v>0</v>
      </c>
      <c r="J13">
        <v>0</v>
      </c>
      <c r="K13">
        <v>150</v>
      </c>
      <c r="L13">
        <v>12</v>
      </c>
      <c r="M13">
        <v>26</v>
      </c>
      <c r="N13" t="b" cm="1">
        <f t="array" ref="N13">_xlfn.XLOOKUP($A13,$A$1:$A12,$B$1:$B12,-1,0,-1)&lt;B13</f>
        <v>1</v>
      </c>
    </row>
    <row r="14" spans="1:14" x14ac:dyDescent="0.4">
      <c r="A14" t="s">
        <v>24</v>
      </c>
      <c r="B14">
        <v>1</v>
      </c>
      <c r="C14">
        <v>0</v>
      </c>
      <c r="D14">
        <v>200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200</v>
      </c>
      <c r="L14">
        <v>13</v>
      </c>
      <c r="M14">
        <v>91</v>
      </c>
      <c r="N14" t="b" cm="1">
        <f t="array" ref="N14">_xlfn.XLOOKUP($A14,$A$1:$A13,$B$1:$B13,-1,0,-1)&lt;B14</f>
        <v>1</v>
      </c>
    </row>
    <row r="15" spans="1:14" x14ac:dyDescent="0.4">
      <c r="A15" t="s">
        <v>10</v>
      </c>
      <c r="B15">
        <v>1</v>
      </c>
      <c r="C15">
        <v>0</v>
      </c>
      <c r="D15">
        <v>250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250</v>
      </c>
      <c r="L15">
        <v>14</v>
      </c>
      <c r="M15">
        <v>8</v>
      </c>
      <c r="N15" t="b" cm="1">
        <f t="array" ref="N15">_xlfn.XLOOKUP($A15,$A$1:$A14,$B$1:$B14,-1,0,-1)&lt;B15</f>
        <v>1</v>
      </c>
    </row>
    <row r="16" spans="1:14" x14ac:dyDescent="0.4">
      <c r="A16" t="s">
        <v>14</v>
      </c>
      <c r="B16">
        <v>1</v>
      </c>
      <c r="C16">
        <v>300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300</v>
      </c>
      <c r="L16">
        <v>15</v>
      </c>
      <c r="M16">
        <v>37</v>
      </c>
      <c r="N16" t="b" cm="1">
        <f t="array" ref="N16">_xlfn.XLOOKUP($A16,$A$1:$A15,$B$1:$B15,-1,0,-1)&lt;B16</f>
        <v>1</v>
      </c>
    </row>
    <row r="17" spans="1:14" x14ac:dyDescent="0.4">
      <c r="A17" t="s">
        <v>23</v>
      </c>
      <c r="B17">
        <v>1</v>
      </c>
      <c r="C17">
        <v>300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300</v>
      </c>
      <c r="L17">
        <v>16</v>
      </c>
      <c r="M17">
        <v>81</v>
      </c>
      <c r="N17" t="b" cm="1">
        <f t="array" ref="N17">_xlfn.XLOOKUP($A17,$A$1:$A16,$B$1:$B16,-1,0,-1)&lt;B17</f>
        <v>1</v>
      </c>
    </row>
    <row r="18" spans="1:14" x14ac:dyDescent="0.4">
      <c r="A18" t="s">
        <v>22</v>
      </c>
      <c r="B18">
        <v>0</v>
      </c>
      <c r="C18">
        <v>0</v>
      </c>
      <c r="D18">
        <v>0</v>
      </c>
      <c r="E18">
        <v>500</v>
      </c>
      <c r="F18">
        <v>0</v>
      </c>
      <c r="G18">
        <v>0</v>
      </c>
      <c r="H18">
        <v>0</v>
      </c>
      <c r="I18">
        <v>0</v>
      </c>
      <c r="J18">
        <v>0</v>
      </c>
      <c r="K18">
        <v>500</v>
      </c>
      <c r="L18">
        <v>17</v>
      </c>
      <c r="M18">
        <v>79</v>
      </c>
      <c r="N18" t="b" cm="1">
        <f t="array" ref="N18">_xlfn.XLOOKUP($A18,$A$1:$A17,$B$1:$B17,-1,0,-1)&lt;B18</f>
        <v>1</v>
      </c>
    </row>
    <row r="19" spans="1:14" x14ac:dyDescent="0.4">
      <c r="A19" t="s">
        <v>13</v>
      </c>
      <c r="B19">
        <v>0</v>
      </c>
      <c r="C19">
        <v>0</v>
      </c>
      <c r="D19">
        <v>500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500</v>
      </c>
      <c r="L19">
        <v>18</v>
      </c>
      <c r="M19">
        <v>32</v>
      </c>
      <c r="N19" t="b" cm="1">
        <f t="array" ref="N19">_xlfn.XLOOKUP($A19,$A$1:$A18,$B$1:$B18,-1,0,-1)&lt;B19</f>
        <v>1</v>
      </c>
    </row>
    <row r="20" spans="1:14" x14ac:dyDescent="0.4">
      <c r="A20" t="s">
        <v>14</v>
      </c>
      <c r="B20">
        <v>2</v>
      </c>
      <c r="C20">
        <v>0</v>
      </c>
      <c r="D20">
        <v>500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500</v>
      </c>
      <c r="L20">
        <v>19</v>
      </c>
      <c r="M20">
        <v>38</v>
      </c>
      <c r="N20" t="b" cm="1">
        <f t="array" ref="N20">_xlfn.XLOOKUP($A20,$A$1:$A19,$B$1:$B19,-1,0,-1)&lt;B20</f>
        <v>1</v>
      </c>
    </row>
    <row r="21" spans="1:14" x14ac:dyDescent="0.4">
      <c r="A21" t="s">
        <v>21</v>
      </c>
      <c r="B21">
        <v>3</v>
      </c>
      <c r="C21">
        <v>0</v>
      </c>
      <c r="D21">
        <v>0</v>
      </c>
      <c r="E21">
        <v>500</v>
      </c>
      <c r="F21">
        <v>0</v>
      </c>
      <c r="G21">
        <v>0</v>
      </c>
      <c r="H21">
        <v>0</v>
      </c>
      <c r="I21">
        <v>0</v>
      </c>
      <c r="J21">
        <v>0</v>
      </c>
      <c r="K21">
        <v>500</v>
      </c>
      <c r="L21">
        <v>20</v>
      </c>
      <c r="M21">
        <v>77</v>
      </c>
      <c r="N21" t="b" cm="1">
        <f t="array" ref="N21">_xlfn.XLOOKUP($A21,$A$1:$A20,$B$1:$B20,-1,0,-1)&lt;B21</f>
        <v>1</v>
      </c>
    </row>
    <row r="22" spans="1:14" x14ac:dyDescent="0.4">
      <c r="A22" t="s">
        <v>20</v>
      </c>
      <c r="B22">
        <v>0</v>
      </c>
      <c r="C22">
        <v>0</v>
      </c>
      <c r="D22">
        <v>500</v>
      </c>
      <c r="E22">
        <v>200</v>
      </c>
      <c r="F22">
        <v>0</v>
      </c>
      <c r="G22">
        <v>0</v>
      </c>
      <c r="H22">
        <v>0</v>
      </c>
      <c r="I22">
        <v>0</v>
      </c>
      <c r="J22">
        <v>0</v>
      </c>
      <c r="K22">
        <v>700</v>
      </c>
      <c r="L22">
        <v>21</v>
      </c>
      <c r="M22">
        <v>64</v>
      </c>
      <c r="N22" t="b" cm="1">
        <f t="array" ref="N22">_xlfn.XLOOKUP($A22,$A$1:$A21,$B$1:$B21,-1,0,-1)&lt;B22</f>
        <v>1</v>
      </c>
    </row>
    <row r="23" spans="1:14" x14ac:dyDescent="0.4">
      <c r="A23" t="s">
        <v>24</v>
      </c>
      <c r="B23">
        <v>2</v>
      </c>
      <c r="C23">
        <v>0</v>
      </c>
      <c r="D23">
        <v>800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800</v>
      </c>
      <c r="L23">
        <v>22</v>
      </c>
      <c r="M23">
        <v>92</v>
      </c>
      <c r="N23" t="b" cm="1">
        <f t="array" ref="N23">_xlfn.XLOOKUP($A23,$A$1:$A22,$B$1:$B22,-1,0,-1)&lt;B23</f>
        <v>1</v>
      </c>
    </row>
    <row r="24" spans="1:14" x14ac:dyDescent="0.4">
      <c r="A24" t="s">
        <v>12</v>
      </c>
      <c r="B24">
        <v>4</v>
      </c>
      <c r="C24">
        <v>0</v>
      </c>
      <c r="D24">
        <v>0</v>
      </c>
      <c r="E24">
        <v>0</v>
      </c>
      <c r="F24">
        <v>1000</v>
      </c>
      <c r="G24">
        <v>0</v>
      </c>
      <c r="H24">
        <v>0</v>
      </c>
      <c r="I24">
        <v>0</v>
      </c>
      <c r="J24">
        <v>0</v>
      </c>
      <c r="K24">
        <v>1000</v>
      </c>
      <c r="L24">
        <v>23</v>
      </c>
      <c r="M24">
        <v>27</v>
      </c>
      <c r="N24" t="b" cm="1">
        <f t="array" ref="N24">_xlfn.XLOOKUP($A24,$A$1:$A23,$B$1:$B23,-1,0,-1)&lt;B24</f>
        <v>1</v>
      </c>
    </row>
    <row r="25" spans="1:14" x14ac:dyDescent="0.4">
      <c r="A25" t="s">
        <v>21</v>
      </c>
      <c r="B25">
        <v>4</v>
      </c>
      <c r="C25">
        <v>0</v>
      </c>
      <c r="D25">
        <v>0</v>
      </c>
      <c r="E25">
        <v>1000</v>
      </c>
      <c r="F25">
        <v>0</v>
      </c>
      <c r="G25">
        <v>0</v>
      </c>
      <c r="H25">
        <v>0</v>
      </c>
      <c r="I25">
        <v>0</v>
      </c>
      <c r="J25">
        <v>0</v>
      </c>
      <c r="K25">
        <v>1000</v>
      </c>
      <c r="L25">
        <v>24</v>
      </c>
      <c r="M25">
        <v>78</v>
      </c>
      <c r="N25" t="b" cm="1">
        <f t="array" ref="N25">_xlfn.XLOOKUP($A25,$A$1:$A24,$B$1:$B24,-1,0,-1)&lt;B25</f>
        <v>1</v>
      </c>
    </row>
    <row r="26" spans="1:14" x14ac:dyDescent="0.4">
      <c r="A26" t="s">
        <v>20</v>
      </c>
      <c r="B26">
        <v>1</v>
      </c>
      <c r="C26">
        <v>0</v>
      </c>
      <c r="D26">
        <v>0</v>
      </c>
      <c r="E26">
        <v>1000</v>
      </c>
      <c r="F26">
        <v>0</v>
      </c>
      <c r="G26">
        <v>0</v>
      </c>
      <c r="H26">
        <v>0</v>
      </c>
      <c r="I26">
        <v>0</v>
      </c>
      <c r="J26">
        <v>0</v>
      </c>
      <c r="K26">
        <v>1000</v>
      </c>
      <c r="L26">
        <v>25</v>
      </c>
      <c r="M26">
        <v>65</v>
      </c>
      <c r="N26" t="b" cm="1">
        <f t="array" ref="N26">_xlfn.XLOOKUP($A26,$A$1:$A25,$B$1:$B25,-1,0,-1)&lt;B26</f>
        <v>1</v>
      </c>
    </row>
    <row r="27" spans="1:14" x14ac:dyDescent="0.4">
      <c r="A27" t="s">
        <v>23</v>
      </c>
      <c r="B27">
        <v>2</v>
      </c>
      <c r="C27">
        <v>1200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1200</v>
      </c>
      <c r="L27">
        <v>26</v>
      </c>
      <c r="M27">
        <v>82</v>
      </c>
      <c r="N27" t="b" cm="1">
        <f t="array" ref="N27">_xlfn.XLOOKUP($A27,$A$1:$A26,$B$1:$B26,-1,0,-1)&lt;B27</f>
        <v>1</v>
      </c>
    </row>
    <row r="28" spans="1:14" x14ac:dyDescent="0.4">
      <c r="A28" t="s">
        <v>10</v>
      </c>
      <c r="B28">
        <v>2</v>
      </c>
      <c r="C28">
        <v>0</v>
      </c>
      <c r="D28">
        <v>1250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1250</v>
      </c>
      <c r="L28">
        <v>27</v>
      </c>
      <c r="M28">
        <v>9</v>
      </c>
      <c r="N28" t="b" cm="1">
        <f t="array" ref="N28">_xlfn.XLOOKUP($A28,$A$1:$A27,$B$1:$B27,-1,0,-1)&lt;B28</f>
        <v>1</v>
      </c>
    </row>
    <row r="29" spans="1:14" x14ac:dyDescent="0.4">
      <c r="A29" t="s">
        <v>13</v>
      </c>
      <c r="B29">
        <v>1</v>
      </c>
      <c r="C29">
        <v>0</v>
      </c>
      <c r="D29">
        <v>1500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1500</v>
      </c>
      <c r="L29">
        <v>28</v>
      </c>
      <c r="M29">
        <v>33</v>
      </c>
      <c r="N29" t="b" cm="1">
        <f t="array" ref="N29">_xlfn.XLOOKUP($A29,$A$1:$A28,$B$1:$B28,-1,0,-1)&lt;B29</f>
        <v>1</v>
      </c>
    </row>
    <row r="30" spans="1:14" x14ac:dyDescent="0.4">
      <c r="A30" t="s">
        <v>16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1000</v>
      </c>
      <c r="K30">
        <v>1000</v>
      </c>
      <c r="L30">
        <v>29</v>
      </c>
      <c r="M30">
        <v>47</v>
      </c>
      <c r="N30" t="b" cm="1">
        <f t="array" ref="N30">_xlfn.XLOOKUP($A30,$A$1:$A29,$B$1:$B29,-1,0,-1)&lt;B30</f>
        <v>1</v>
      </c>
    </row>
    <row r="31" spans="1:14" x14ac:dyDescent="0.4">
      <c r="A31" t="s">
        <v>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2000</v>
      </c>
      <c r="I31">
        <v>0</v>
      </c>
      <c r="J31">
        <v>0</v>
      </c>
      <c r="K31">
        <v>2000</v>
      </c>
      <c r="L31">
        <v>30</v>
      </c>
      <c r="M31">
        <v>53</v>
      </c>
      <c r="N31" t="b" cm="1">
        <f t="array" ref="N31">_xlfn.XLOOKUP($A31,$A$1:$A30,$B$1:$B30,-1,0,-1)&lt;B31</f>
        <v>1</v>
      </c>
    </row>
    <row r="32" spans="1:14" x14ac:dyDescent="0.4">
      <c r="A32" t="s">
        <v>14</v>
      </c>
      <c r="B32">
        <v>3</v>
      </c>
      <c r="C32">
        <v>0</v>
      </c>
      <c r="D32">
        <v>2500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2500</v>
      </c>
      <c r="L32">
        <v>31</v>
      </c>
      <c r="M32">
        <v>39</v>
      </c>
      <c r="N32" t="b" cm="1">
        <f t="array" ref="N32">_xlfn.XLOOKUP($A32,$A$1:$A31,$B$1:$B31,-1,0,-1)&lt;B32</f>
        <v>1</v>
      </c>
    </row>
    <row r="33" spans="1:14" x14ac:dyDescent="0.4">
      <c r="A33" t="s">
        <v>19</v>
      </c>
      <c r="B33">
        <v>0</v>
      </c>
      <c r="C33">
        <v>0</v>
      </c>
      <c r="D33">
        <v>0</v>
      </c>
      <c r="E33">
        <v>0</v>
      </c>
      <c r="F33">
        <v>3000</v>
      </c>
      <c r="G33">
        <v>0</v>
      </c>
      <c r="H33">
        <v>0</v>
      </c>
      <c r="I33">
        <v>0</v>
      </c>
      <c r="J33">
        <v>0</v>
      </c>
      <c r="K33">
        <v>3000</v>
      </c>
      <c r="L33">
        <v>32</v>
      </c>
      <c r="M33">
        <v>59</v>
      </c>
      <c r="N33" t="b" cm="1">
        <f t="array" ref="N33">_xlfn.XLOOKUP($A33,$A$1:$A32,$B$1:$B32,-1,0,-1)&lt;B33</f>
        <v>1</v>
      </c>
    </row>
    <row r="34" spans="1:14" x14ac:dyDescent="0.4">
      <c r="A34" t="s">
        <v>24</v>
      </c>
      <c r="B34">
        <v>3</v>
      </c>
      <c r="C34">
        <v>0</v>
      </c>
      <c r="D34">
        <v>3200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3200</v>
      </c>
      <c r="L34">
        <v>33</v>
      </c>
      <c r="M34">
        <v>93</v>
      </c>
      <c r="N34" t="b" cm="1">
        <f t="array" ref="N34">_xlfn.XLOOKUP($A34,$A$1:$A33,$B$1:$B33,-1,0,-1)&lt;B34</f>
        <v>1</v>
      </c>
    </row>
    <row r="35" spans="1:14" x14ac:dyDescent="0.4">
      <c r="A35" t="s">
        <v>20</v>
      </c>
      <c r="B35">
        <v>2</v>
      </c>
      <c r="C35">
        <v>0</v>
      </c>
      <c r="D35">
        <v>0</v>
      </c>
      <c r="E35">
        <v>4000</v>
      </c>
      <c r="F35">
        <v>0</v>
      </c>
      <c r="G35">
        <v>0</v>
      </c>
      <c r="H35">
        <v>0</v>
      </c>
      <c r="I35">
        <v>0</v>
      </c>
      <c r="J35">
        <v>0</v>
      </c>
      <c r="K35">
        <v>4000</v>
      </c>
      <c r="L35">
        <v>34</v>
      </c>
      <c r="M35">
        <v>66</v>
      </c>
      <c r="N35" t="b" cm="1">
        <f t="array" ref="N35">_xlfn.XLOOKUP($A35,$A$1:$A34,$B$1:$B34,-1,0,-1)&lt;B35</f>
        <v>1</v>
      </c>
    </row>
    <row r="36" spans="1:14" x14ac:dyDescent="0.4">
      <c r="A36" t="s">
        <v>23</v>
      </c>
      <c r="B36">
        <v>3</v>
      </c>
      <c r="C36">
        <v>4800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4800</v>
      </c>
      <c r="L36">
        <v>35</v>
      </c>
      <c r="M36">
        <v>83</v>
      </c>
      <c r="N36" t="b" cm="1">
        <f t="array" ref="N36">_xlfn.XLOOKUP($A36,$A$1:$A35,$B$1:$B35,-1,0,-1)&lt;B36</f>
        <v>1</v>
      </c>
    </row>
    <row r="37" spans="1:14" x14ac:dyDescent="0.4">
      <c r="A37" t="s">
        <v>9</v>
      </c>
      <c r="B37">
        <v>0</v>
      </c>
      <c r="C37">
        <v>0</v>
      </c>
      <c r="D37">
        <v>0</v>
      </c>
      <c r="E37">
        <v>0</v>
      </c>
      <c r="F37">
        <v>5000</v>
      </c>
      <c r="G37">
        <v>0</v>
      </c>
      <c r="H37">
        <v>0</v>
      </c>
      <c r="I37">
        <v>0</v>
      </c>
      <c r="J37">
        <v>0</v>
      </c>
      <c r="K37">
        <v>5000</v>
      </c>
      <c r="L37">
        <v>36</v>
      </c>
      <c r="M37">
        <v>1</v>
      </c>
      <c r="N37" t="b" cm="1">
        <f t="array" ref="N37">_xlfn.XLOOKUP($A37,$A$1:$A36,$B$1:$B36,-1,0,-1)&lt;B37</f>
        <v>1</v>
      </c>
    </row>
    <row r="38" spans="1:14" x14ac:dyDescent="0.4">
      <c r="A38" t="s">
        <v>10</v>
      </c>
      <c r="B38">
        <v>3</v>
      </c>
      <c r="C38">
        <v>0</v>
      </c>
      <c r="D38">
        <v>6250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6250</v>
      </c>
      <c r="L38">
        <v>37</v>
      </c>
      <c r="M38">
        <v>10</v>
      </c>
      <c r="N38" t="b" cm="1">
        <f t="array" ref="N38">_xlfn.XLOOKUP($A38,$A$1:$A37,$B$1:$B37,-1,0,-1)&lt;B38</f>
        <v>1</v>
      </c>
    </row>
    <row r="39" spans="1:14" x14ac:dyDescent="0.4">
      <c r="A39" t="s">
        <v>12</v>
      </c>
      <c r="B39">
        <v>5</v>
      </c>
      <c r="C39">
        <v>0</v>
      </c>
      <c r="D39">
        <v>0</v>
      </c>
      <c r="E39">
        <v>0</v>
      </c>
      <c r="F39">
        <v>8000</v>
      </c>
      <c r="G39">
        <v>0</v>
      </c>
      <c r="H39">
        <v>0</v>
      </c>
      <c r="I39">
        <v>0</v>
      </c>
      <c r="J39">
        <v>0</v>
      </c>
      <c r="K39">
        <v>8000</v>
      </c>
      <c r="L39">
        <v>38</v>
      </c>
      <c r="M39">
        <v>28</v>
      </c>
      <c r="N39" t="b" cm="1">
        <f t="array" ref="N39">_xlfn.XLOOKUP($A39,$A$1:$A38,$B$1:$B38,-1,0,-1)&lt;B39</f>
        <v>1</v>
      </c>
    </row>
    <row r="40" spans="1:14" x14ac:dyDescent="0.4">
      <c r="A40" t="s">
        <v>17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8000</v>
      </c>
      <c r="I40">
        <v>0</v>
      </c>
      <c r="J40">
        <v>0</v>
      </c>
      <c r="K40">
        <v>8000</v>
      </c>
      <c r="L40">
        <v>39</v>
      </c>
      <c r="M40">
        <v>54</v>
      </c>
      <c r="N40" t="b" cm="1">
        <f t="array" ref="N40">_xlfn.XLOOKUP($A40,$A$1:$A39,$B$1:$B39,-1,0,-1)&lt;B40</f>
        <v>1</v>
      </c>
    </row>
    <row r="41" spans="1:14" x14ac:dyDescent="0.4">
      <c r="A41" t="s">
        <v>13</v>
      </c>
      <c r="B41">
        <v>2</v>
      </c>
      <c r="C41">
        <v>0</v>
      </c>
      <c r="D41">
        <v>9000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9000</v>
      </c>
      <c r="L41">
        <v>40</v>
      </c>
      <c r="M41">
        <v>34</v>
      </c>
      <c r="N41" t="b" cm="1">
        <f t="array" ref="N41">_xlfn.XLOOKUP($A41,$A$1:$A40,$B$1:$B40,-1,0,-1)&lt;B41</f>
        <v>1</v>
      </c>
    </row>
    <row r="42" spans="1:14" x14ac:dyDescent="0.4">
      <c r="A42" t="s">
        <v>11</v>
      </c>
      <c r="B42">
        <v>0</v>
      </c>
      <c r="C42">
        <v>0</v>
      </c>
      <c r="D42">
        <v>0</v>
      </c>
      <c r="E42">
        <v>0</v>
      </c>
      <c r="F42">
        <v>0</v>
      </c>
      <c r="G42">
        <v>2000</v>
      </c>
      <c r="H42">
        <v>0</v>
      </c>
      <c r="I42">
        <v>0</v>
      </c>
      <c r="J42">
        <v>0</v>
      </c>
      <c r="K42">
        <v>2000</v>
      </c>
      <c r="L42">
        <v>41</v>
      </c>
      <c r="M42">
        <v>17</v>
      </c>
      <c r="N42" t="b" cm="1">
        <f t="array" ref="N42">_xlfn.XLOOKUP($A42,$A$1:$A41,$B$1:$B41,-1,0,-1)&lt;B42</f>
        <v>1</v>
      </c>
    </row>
    <row r="43" spans="1:14" x14ac:dyDescent="0.4">
      <c r="A43" t="s">
        <v>11</v>
      </c>
      <c r="B43">
        <v>1</v>
      </c>
      <c r="C43">
        <v>0</v>
      </c>
      <c r="D43">
        <v>0</v>
      </c>
      <c r="E43">
        <v>0</v>
      </c>
      <c r="F43">
        <v>0</v>
      </c>
      <c r="G43">
        <v>12000</v>
      </c>
      <c r="H43">
        <v>0</v>
      </c>
      <c r="I43">
        <v>0</v>
      </c>
      <c r="J43">
        <v>0</v>
      </c>
      <c r="K43">
        <v>12000</v>
      </c>
      <c r="L43">
        <v>42</v>
      </c>
      <c r="M43">
        <v>18</v>
      </c>
      <c r="N43" t="b" cm="1">
        <f t="array" ref="N43">_xlfn.XLOOKUP($A43,$A$1:$A42,$B$1:$B42,-1,0,-1)&lt;B43</f>
        <v>1</v>
      </c>
    </row>
    <row r="44" spans="1:14" x14ac:dyDescent="0.4">
      <c r="A44" t="s">
        <v>19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10000</v>
      </c>
      <c r="J44">
        <v>0</v>
      </c>
      <c r="K44">
        <v>10000</v>
      </c>
      <c r="L44">
        <v>43</v>
      </c>
      <c r="M44">
        <v>60</v>
      </c>
      <c r="N44" t="b" cm="1">
        <f t="array" ref="N44">_xlfn.XLOOKUP($A44,$A$1:$A43,$B$1:$B43,-1,0,-1)&lt;B44</f>
        <v>1</v>
      </c>
    </row>
    <row r="45" spans="1:14" x14ac:dyDescent="0.4">
      <c r="A45" t="s">
        <v>16</v>
      </c>
      <c r="B45">
        <v>1</v>
      </c>
      <c r="C45">
        <v>0</v>
      </c>
      <c r="D45">
        <v>0</v>
      </c>
      <c r="E45">
        <v>0</v>
      </c>
      <c r="F45">
        <v>0</v>
      </c>
      <c r="G45">
        <v>12000</v>
      </c>
      <c r="H45">
        <v>0</v>
      </c>
      <c r="I45">
        <v>0</v>
      </c>
      <c r="J45">
        <v>0</v>
      </c>
      <c r="K45">
        <v>12000</v>
      </c>
      <c r="L45">
        <v>44</v>
      </c>
      <c r="M45">
        <v>48</v>
      </c>
      <c r="N45" t="b" cm="1">
        <f t="array" ref="N45">_xlfn.XLOOKUP($A45,$A$1:$A44,$B$1:$B44,-1,0,-1)&lt;B45</f>
        <v>1</v>
      </c>
    </row>
    <row r="46" spans="1:14" x14ac:dyDescent="0.4">
      <c r="A46" t="s">
        <v>14</v>
      </c>
      <c r="B46">
        <v>4</v>
      </c>
      <c r="C46">
        <v>0</v>
      </c>
      <c r="D46">
        <v>12500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12500</v>
      </c>
      <c r="L46">
        <v>45</v>
      </c>
      <c r="M46">
        <v>40</v>
      </c>
      <c r="N46" t="b" cm="1">
        <f t="array" ref="N46">_xlfn.XLOOKUP($A46,$A$1:$A45,$B$1:$B45,-1,0,-1)&lt;B46</f>
        <v>1</v>
      </c>
    </row>
    <row r="47" spans="1:14" x14ac:dyDescent="0.4">
      <c r="A47" t="s">
        <v>24</v>
      </c>
      <c r="B47">
        <v>4</v>
      </c>
      <c r="C47">
        <v>0</v>
      </c>
      <c r="D47">
        <v>12800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12800</v>
      </c>
      <c r="L47">
        <v>46</v>
      </c>
      <c r="M47">
        <v>94</v>
      </c>
      <c r="N47" t="b" cm="1">
        <f t="array" ref="N47">_xlfn.XLOOKUP($A47,$A$1:$A46,$B$1:$B46,-1,0,-1)&lt;B47</f>
        <v>1</v>
      </c>
    </row>
    <row r="48" spans="1:14" x14ac:dyDescent="0.4">
      <c r="A48" t="s">
        <v>20</v>
      </c>
      <c r="B48">
        <v>3</v>
      </c>
      <c r="C48">
        <v>0</v>
      </c>
      <c r="D48">
        <v>0</v>
      </c>
      <c r="E48">
        <v>16000</v>
      </c>
      <c r="F48">
        <v>0</v>
      </c>
      <c r="G48">
        <v>0</v>
      </c>
      <c r="H48">
        <v>0</v>
      </c>
      <c r="I48">
        <v>0</v>
      </c>
      <c r="J48">
        <v>0</v>
      </c>
      <c r="K48">
        <v>16000</v>
      </c>
      <c r="L48">
        <v>47</v>
      </c>
      <c r="M48">
        <v>67</v>
      </c>
      <c r="N48" t="b" cm="1">
        <f t="array" ref="N48">_xlfn.XLOOKUP($A48,$A$1:$A47,$B$1:$B47,-1,0,-1)&lt;B48</f>
        <v>1</v>
      </c>
    </row>
    <row r="49" spans="1:14" x14ac:dyDescent="0.4">
      <c r="A49" t="s">
        <v>23</v>
      </c>
      <c r="B49">
        <v>4</v>
      </c>
      <c r="C49">
        <v>19200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19200</v>
      </c>
      <c r="L49">
        <v>48</v>
      </c>
      <c r="M49">
        <v>84</v>
      </c>
      <c r="N49" t="b" cm="1">
        <f t="array" ref="N49">_xlfn.XLOOKUP($A49,$A$1:$A48,$B$1:$B48,-1,0,-1)&lt;B49</f>
        <v>1</v>
      </c>
    </row>
    <row r="50" spans="1:14" x14ac:dyDescent="0.4">
      <c r="A50" t="s">
        <v>9</v>
      </c>
      <c r="B50">
        <v>1</v>
      </c>
      <c r="C50">
        <v>0</v>
      </c>
      <c r="D50">
        <v>0</v>
      </c>
      <c r="E50">
        <v>0</v>
      </c>
      <c r="F50">
        <v>20000</v>
      </c>
      <c r="G50">
        <v>0</v>
      </c>
      <c r="H50">
        <v>0</v>
      </c>
      <c r="I50">
        <v>0</v>
      </c>
      <c r="J50">
        <v>0</v>
      </c>
      <c r="K50">
        <v>20000</v>
      </c>
      <c r="L50">
        <v>49</v>
      </c>
      <c r="M50">
        <v>2</v>
      </c>
      <c r="N50" t="b" cm="1">
        <f t="array" ref="N50">_xlfn.XLOOKUP($A50,$A$1:$A49,$B$1:$B49,-1,0,-1)&lt;B50</f>
        <v>1</v>
      </c>
    </row>
    <row r="51" spans="1:14" x14ac:dyDescent="0.4">
      <c r="A51" t="s">
        <v>10</v>
      </c>
      <c r="B51">
        <v>4</v>
      </c>
      <c r="C51">
        <v>0</v>
      </c>
      <c r="D51">
        <v>31200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31200</v>
      </c>
      <c r="L51">
        <v>50</v>
      </c>
      <c r="M51">
        <v>11</v>
      </c>
      <c r="N51" t="b" cm="1">
        <f t="array" ref="N51">_xlfn.XLOOKUP($A51,$A$1:$A50,$B$1:$B50,-1,0,-1)&lt;B51</f>
        <v>1</v>
      </c>
    </row>
    <row r="52" spans="1:14" x14ac:dyDescent="0.4">
      <c r="A52" t="s">
        <v>17</v>
      </c>
      <c r="B52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32000</v>
      </c>
      <c r="I52">
        <v>0</v>
      </c>
      <c r="J52">
        <v>0</v>
      </c>
      <c r="K52">
        <v>32000</v>
      </c>
      <c r="L52">
        <v>51</v>
      </c>
      <c r="M52">
        <v>55</v>
      </c>
      <c r="N52" t="b" cm="1">
        <f t="array" ref="N52">_xlfn.XLOOKUP($A52,$A$1:$A51,$B$1:$B51,-1,0,-1)&lt;B52</f>
        <v>1</v>
      </c>
    </row>
    <row r="53" spans="1:14" x14ac:dyDescent="0.4">
      <c r="A53" t="s">
        <v>19</v>
      </c>
      <c r="B53">
        <v>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50000</v>
      </c>
      <c r="J53">
        <v>0</v>
      </c>
      <c r="K53">
        <v>50000</v>
      </c>
      <c r="L53">
        <v>52</v>
      </c>
      <c r="M53">
        <v>61</v>
      </c>
      <c r="N53" t="b" cm="1">
        <f t="array" ref="N53">_xlfn.XLOOKUP($A53,$A$1:$A52,$B$1:$B52,-1,0,-1)&lt;B53</f>
        <v>1</v>
      </c>
    </row>
    <row r="54" spans="1:14" x14ac:dyDescent="0.4">
      <c r="A54" t="s">
        <v>24</v>
      </c>
      <c r="B54">
        <v>5</v>
      </c>
      <c r="C54">
        <v>0</v>
      </c>
      <c r="D54">
        <v>51200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51200</v>
      </c>
      <c r="L54">
        <v>53</v>
      </c>
      <c r="M54">
        <v>95</v>
      </c>
      <c r="N54" t="b" cm="1">
        <f t="array" ref="N54">_xlfn.XLOOKUP($A54,$A$1:$A53,$B$1:$B53,-1,0,-1)&lt;B54</f>
        <v>1</v>
      </c>
    </row>
    <row r="55" spans="1:14" x14ac:dyDescent="0.4">
      <c r="A55" t="s">
        <v>13</v>
      </c>
      <c r="B55">
        <v>3</v>
      </c>
      <c r="C55">
        <v>0</v>
      </c>
      <c r="D55">
        <v>54000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54000</v>
      </c>
      <c r="L55">
        <v>54</v>
      </c>
      <c r="M55">
        <v>35</v>
      </c>
      <c r="N55" t="b" cm="1">
        <f t="array" ref="N55">_xlfn.XLOOKUP($A55,$A$1:$A54,$B$1:$B54,-1,0,-1)&lt;B55</f>
        <v>1</v>
      </c>
    </row>
    <row r="56" spans="1:14" x14ac:dyDescent="0.4">
      <c r="A56" t="s">
        <v>14</v>
      </c>
      <c r="B56">
        <v>5</v>
      </c>
      <c r="C56">
        <v>0</v>
      </c>
      <c r="D56">
        <v>62500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62500</v>
      </c>
      <c r="L56">
        <v>55</v>
      </c>
      <c r="M56">
        <v>41</v>
      </c>
      <c r="N56" t="b" cm="1">
        <f t="array" ref="N56">_xlfn.XLOOKUP($A56,$A$1:$A55,$B$1:$B55,-1,0,-1)&lt;B56</f>
        <v>1</v>
      </c>
    </row>
    <row r="57" spans="1:14" x14ac:dyDescent="0.4">
      <c r="A57" t="s">
        <v>20</v>
      </c>
      <c r="B57">
        <v>4</v>
      </c>
      <c r="C57">
        <v>0</v>
      </c>
      <c r="D57">
        <v>0</v>
      </c>
      <c r="E57">
        <v>64000</v>
      </c>
      <c r="F57">
        <v>0</v>
      </c>
      <c r="G57">
        <v>0</v>
      </c>
      <c r="H57">
        <v>0</v>
      </c>
      <c r="I57">
        <v>0</v>
      </c>
      <c r="J57">
        <v>0</v>
      </c>
      <c r="K57">
        <v>64000</v>
      </c>
      <c r="L57">
        <v>56</v>
      </c>
      <c r="M57">
        <v>68</v>
      </c>
      <c r="N57" t="b" cm="1">
        <f t="array" ref="N57">_xlfn.XLOOKUP($A57,$A$1:$A56,$B$1:$B56,-1,0,-1)&lt;B57</f>
        <v>1</v>
      </c>
    </row>
    <row r="58" spans="1:14" x14ac:dyDescent="0.4">
      <c r="A58" t="s">
        <v>12</v>
      </c>
      <c r="B58">
        <v>6</v>
      </c>
      <c r="C58">
        <v>0</v>
      </c>
      <c r="D58">
        <v>0</v>
      </c>
      <c r="E58">
        <v>0</v>
      </c>
      <c r="F58">
        <v>64000</v>
      </c>
      <c r="G58">
        <v>0</v>
      </c>
      <c r="H58">
        <v>0</v>
      </c>
      <c r="I58">
        <v>0</v>
      </c>
      <c r="J58">
        <v>0</v>
      </c>
      <c r="K58">
        <v>64000</v>
      </c>
      <c r="L58">
        <v>57</v>
      </c>
      <c r="M58">
        <v>29</v>
      </c>
      <c r="N58" t="b" cm="1">
        <f t="array" ref="N58">_xlfn.XLOOKUP($A58,$A$1:$A57,$B$1:$B57,-1,0,-1)&lt;B58</f>
        <v>1</v>
      </c>
    </row>
    <row r="59" spans="1:14" x14ac:dyDescent="0.4">
      <c r="A59" t="s">
        <v>23</v>
      </c>
      <c r="B59">
        <v>5</v>
      </c>
      <c r="C59">
        <v>76800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76800</v>
      </c>
      <c r="L59">
        <v>57</v>
      </c>
      <c r="M59">
        <v>85</v>
      </c>
      <c r="N59" t="b" cm="1">
        <f t="array" ref="N59">_xlfn.XLOOKUP($A59,$A$1:$A58,$B$1:$B58,-1,0,-1)&lt;B59</f>
        <v>1</v>
      </c>
    </row>
    <row r="60" spans="1:14" x14ac:dyDescent="0.4">
      <c r="A60" t="s">
        <v>9</v>
      </c>
      <c r="B60">
        <v>2</v>
      </c>
      <c r="C60">
        <v>0</v>
      </c>
      <c r="D60">
        <v>0</v>
      </c>
      <c r="E60">
        <v>0</v>
      </c>
      <c r="F60">
        <v>120000</v>
      </c>
      <c r="G60">
        <v>0</v>
      </c>
      <c r="H60">
        <v>0</v>
      </c>
      <c r="I60">
        <v>0</v>
      </c>
      <c r="J60">
        <v>0</v>
      </c>
      <c r="K60">
        <v>120000</v>
      </c>
      <c r="L60">
        <v>58</v>
      </c>
      <c r="M60">
        <v>3</v>
      </c>
      <c r="N60" t="b" cm="1">
        <f t="array" ref="N60">_xlfn.XLOOKUP($A60,$A$1:$A59,$B$1:$B59,-1,0,-1)&lt;B60</f>
        <v>1</v>
      </c>
    </row>
    <row r="61" spans="1:14" x14ac:dyDescent="0.4">
      <c r="A61" t="s">
        <v>10</v>
      </c>
      <c r="B61">
        <v>5</v>
      </c>
      <c r="C61">
        <v>0</v>
      </c>
      <c r="D61">
        <v>156000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156000</v>
      </c>
      <c r="L61">
        <v>59</v>
      </c>
      <c r="M61">
        <v>12</v>
      </c>
      <c r="N61" t="b" cm="1">
        <f t="array" ref="N61">_xlfn.XLOOKUP($A61,$A$1:$A60,$B$1:$B60,-1,0,-1)&lt;B61</f>
        <v>1</v>
      </c>
    </row>
    <row r="62" spans="1:14" x14ac:dyDescent="0.4">
      <c r="A62" t="s">
        <v>24</v>
      </c>
      <c r="B62">
        <v>6</v>
      </c>
      <c r="C62">
        <v>0</v>
      </c>
      <c r="D62">
        <v>205000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205000</v>
      </c>
      <c r="L62">
        <v>60</v>
      </c>
      <c r="M62">
        <v>96</v>
      </c>
      <c r="N62" t="b" cm="1">
        <f t="array" ref="N62">_xlfn.XLOOKUP($A62,$A$1:$A61,$B$1:$B61,-1,0,-1)&lt;B62</f>
        <v>1</v>
      </c>
    </row>
    <row r="63" spans="1:14" x14ac:dyDescent="0.4">
      <c r="A63" t="s">
        <v>16</v>
      </c>
      <c r="B63">
        <v>2</v>
      </c>
      <c r="C63">
        <v>0</v>
      </c>
      <c r="D63">
        <v>0</v>
      </c>
      <c r="E63">
        <v>0</v>
      </c>
      <c r="F63">
        <v>0</v>
      </c>
      <c r="G63">
        <v>72000</v>
      </c>
      <c r="H63">
        <v>0</v>
      </c>
      <c r="I63">
        <v>0</v>
      </c>
      <c r="J63">
        <v>0</v>
      </c>
      <c r="K63">
        <v>72000</v>
      </c>
      <c r="L63">
        <v>61</v>
      </c>
      <c r="M63">
        <v>49</v>
      </c>
      <c r="N63" t="b" cm="1">
        <f t="array" ref="N63">_xlfn.XLOOKUP($A63,$A$1:$A62,$B$1:$B62,-1,0,-1)&lt;B63</f>
        <v>1</v>
      </c>
    </row>
    <row r="64" spans="1:14" x14ac:dyDescent="0.4">
      <c r="A64" t="s">
        <v>17</v>
      </c>
      <c r="B64">
        <v>3</v>
      </c>
      <c r="C64">
        <v>0</v>
      </c>
      <c r="D64">
        <v>0</v>
      </c>
      <c r="E64">
        <v>0</v>
      </c>
      <c r="F64">
        <v>0</v>
      </c>
      <c r="G64">
        <v>0</v>
      </c>
      <c r="H64">
        <v>128000</v>
      </c>
      <c r="I64">
        <v>0</v>
      </c>
      <c r="J64">
        <v>0</v>
      </c>
      <c r="K64">
        <v>128000</v>
      </c>
      <c r="L64">
        <v>62</v>
      </c>
      <c r="M64">
        <v>56</v>
      </c>
      <c r="N64" t="b" cm="1">
        <f t="array" ref="N64">_xlfn.XLOOKUP($A64,$A$1:$A63,$B$1:$B63,-1,0,-1)&lt;B64</f>
        <v>1</v>
      </c>
    </row>
    <row r="65" spans="1:14" x14ac:dyDescent="0.4">
      <c r="A65" t="s">
        <v>11</v>
      </c>
      <c r="B65">
        <v>2</v>
      </c>
      <c r="C65">
        <v>0</v>
      </c>
      <c r="D65">
        <v>0</v>
      </c>
      <c r="E65">
        <v>0</v>
      </c>
      <c r="F65">
        <v>0</v>
      </c>
      <c r="G65">
        <v>72000</v>
      </c>
      <c r="H65">
        <v>0</v>
      </c>
      <c r="I65">
        <v>0</v>
      </c>
      <c r="J65">
        <v>0</v>
      </c>
      <c r="K65">
        <v>72000</v>
      </c>
      <c r="L65">
        <v>63</v>
      </c>
      <c r="M65">
        <v>19</v>
      </c>
      <c r="N65" t="b" cm="1">
        <f t="array" ref="N65">_xlfn.XLOOKUP($A65,$A$1:$A64,$B$1:$B64,-1,0,-1)&lt;B65</f>
        <v>1</v>
      </c>
    </row>
    <row r="66" spans="1:14" x14ac:dyDescent="0.4">
      <c r="A66" t="s">
        <v>19</v>
      </c>
      <c r="B66">
        <v>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250000</v>
      </c>
      <c r="J66">
        <v>0</v>
      </c>
      <c r="K66">
        <v>250000</v>
      </c>
      <c r="L66">
        <v>64</v>
      </c>
      <c r="M66">
        <v>62</v>
      </c>
      <c r="N66" t="b" cm="1">
        <f t="array" ref="N66">_xlfn.XLOOKUP($A66,$A$1:$A65,$B$1:$B65,-1,0,-1)&lt;B66</f>
        <v>1</v>
      </c>
    </row>
    <row r="67" spans="1:14" x14ac:dyDescent="0.4">
      <c r="A67" t="s">
        <v>23</v>
      </c>
      <c r="B67">
        <v>6</v>
      </c>
      <c r="C67">
        <v>307000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307000</v>
      </c>
      <c r="L67">
        <v>65</v>
      </c>
      <c r="M67">
        <v>86</v>
      </c>
      <c r="N67" t="b" cm="1">
        <f t="array" ref="N67">_xlfn.XLOOKUP($A67,$A$1:$A66,$B$1:$B66,-1,0,-1)&lt;B67</f>
        <v>1</v>
      </c>
    </row>
    <row r="68" spans="1:14" x14ac:dyDescent="0.4">
      <c r="A68" t="s">
        <v>14</v>
      </c>
      <c r="B68">
        <v>6</v>
      </c>
      <c r="C68">
        <v>0</v>
      </c>
      <c r="D68">
        <v>312000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312000</v>
      </c>
      <c r="L68">
        <v>66</v>
      </c>
      <c r="M68">
        <v>42</v>
      </c>
      <c r="N68" t="b" cm="1">
        <f t="array" ref="N68">_xlfn.XLOOKUP($A68,$A$1:$A67,$B$1:$B67,-1,0,-1)&lt;B68</f>
        <v>1</v>
      </c>
    </row>
    <row r="69" spans="1:14" x14ac:dyDescent="0.4">
      <c r="A69" t="s">
        <v>20</v>
      </c>
      <c r="B69">
        <v>5</v>
      </c>
      <c r="C69">
        <v>0</v>
      </c>
      <c r="D69">
        <v>0</v>
      </c>
      <c r="E69">
        <v>256000</v>
      </c>
      <c r="F69">
        <v>0</v>
      </c>
      <c r="G69">
        <v>0</v>
      </c>
      <c r="H69">
        <v>0</v>
      </c>
      <c r="I69">
        <v>0</v>
      </c>
      <c r="J69">
        <v>0</v>
      </c>
      <c r="K69">
        <v>256000</v>
      </c>
      <c r="L69">
        <v>67</v>
      </c>
      <c r="M69">
        <v>69</v>
      </c>
      <c r="N69" t="b" cm="1">
        <f t="array" ref="N69">_xlfn.XLOOKUP($A69,$A$1:$A68,$B$1:$B68,-1,0,-1)&lt;B69</f>
        <v>1</v>
      </c>
    </row>
    <row r="70" spans="1:14" x14ac:dyDescent="0.4">
      <c r="A70" t="s">
        <v>12</v>
      </c>
      <c r="B70">
        <v>7</v>
      </c>
      <c r="C70">
        <v>0</v>
      </c>
      <c r="D70">
        <v>0</v>
      </c>
      <c r="E70">
        <v>0</v>
      </c>
      <c r="F70">
        <v>512000</v>
      </c>
      <c r="G70">
        <v>0</v>
      </c>
      <c r="H70">
        <v>0</v>
      </c>
      <c r="I70">
        <v>0</v>
      </c>
      <c r="J70">
        <v>0</v>
      </c>
      <c r="K70">
        <v>512000</v>
      </c>
      <c r="L70">
        <v>68</v>
      </c>
      <c r="M70">
        <v>30</v>
      </c>
      <c r="N70" t="b" cm="1">
        <f t="array" ref="N70">_xlfn.XLOOKUP($A70,$A$1:$A69,$B$1:$B69,-1,0,-1)&lt;B70</f>
        <v>1</v>
      </c>
    </row>
    <row r="71" spans="1:14" x14ac:dyDescent="0.4">
      <c r="A71" t="s">
        <v>16</v>
      </c>
      <c r="B71">
        <v>3</v>
      </c>
      <c r="C71">
        <v>0</v>
      </c>
      <c r="D71">
        <v>0</v>
      </c>
      <c r="E71">
        <v>0</v>
      </c>
      <c r="F71">
        <v>0</v>
      </c>
      <c r="G71">
        <v>432000</v>
      </c>
      <c r="H71">
        <v>0</v>
      </c>
      <c r="I71">
        <v>0</v>
      </c>
      <c r="J71">
        <v>0</v>
      </c>
      <c r="K71">
        <v>432000</v>
      </c>
      <c r="L71">
        <v>69</v>
      </c>
      <c r="M71">
        <v>50</v>
      </c>
      <c r="N71" t="b" cm="1">
        <f t="array" ref="N71">_xlfn.XLOOKUP($A71,$A$1:$A70,$B$1:$B70,-1,0,-1)&lt;B71</f>
        <v>1</v>
      </c>
    </row>
    <row r="72" spans="1:14" x14ac:dyDescent="0.4">
      <c r="A72" t="s">
        <v>30</v>
      </c>
      <c r="B72">
        <v>4</v>
      </c>
      <c r="C72">
        <v>0</v>
      </c>
      <c r="D72">
        <v>0</v>
      </c>
      <c r="E72">
        <v>0</v>
      </c>
      <c r="F72">
        <v>0</v>
      </c>
      <c r="G72">
        <v>0</v>
      </c>
      <c r="H72">
        <v>512000</v>
      </c>
      <c r="I72">
        <v>0</v>
      </c>
      <c r="J72">
        <v>0</v>
      </c>
      <c r="K72">
        <v>512000</v>
      </c>
      <c r="L72">
        <v>70</v>
      </c>
      <c r="M72">
        <v>57</v>
      </c>
      <c r="N72" t="b" cm="1">
        <f t="array" ref="N72">_xlfn.XLOOKUP($A72,$A$1:$A71,$B$1:$B71,-1,0,-1)&lt;B72</f>
        <v>1</v>
      </c>
    </row>
    <row r="73" spans="1:14" x14ac:dyDescent="0.4">
      <c r="A73" t="s">
        <v>23</v>
      </c>
      <c r="B73">
        <v>7</v>
      </c>
      <c r="C73">
        <v>1230000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1230000</v>
      </c>
      <c r="L73">
        <v>71</v>
      </c>
      <c r="M73">
        <v>87</v>
      </c>
      <c r="N73" t="b" cm="1">
        <f t="array" ref="N73">_xlfn.XLOOKUP($A73,$A$1:$A72,$B$1:$B72,-1,0,-1)&lt;B73</f>
        <v>1</v>
      </c>
    </row>
    <row r="74" spans="1:14" x14ac:dyDescent="0.4">
      <c r="A74" t="s">
        <v>24</v>
      </c>
      <c r="B74">
        <v>7</v>
      </c>
      <c r="C74">
        <v>0</v>
      </c>
      <c r="D74">
        <v>819000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819000</v>
      </c>
      <c r="L74">
        <v>72</v>
      </c>
      <c r="M74">
        <v>97</v>
      </c>
      <c r="N74" t="b" cm="1">
        <f t="array" ref="N74">_xlfn.XLOOKUP($A74,$A$1:$A73,$B$1:$B73,-1,0,-1)&lt;B74</f>
        <v>1</v>
      </c>
    </row>
    <row r="75" spans="1:14" x14ac:dyDescent="0.4">
      <c r="A75" t="s">
        <v>10</v>
      </c>
      <c r="B75">
        <v>6</v>
      </c>
      <c r="C75">
        <v>0</v>
      </c>
      <c r="D75">
        <v>781000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781000</v>
      </c>
      <c r="L75">
        <v>73</v>
      </c>
      <c r="M75">
        <v>13</v>
      </c>
      <c r="N75" t="b" cm="1">
        <f t="array" ref="N75">_xlfn.XLOOKUP($A75,$A$1:$A74,$B$1:$B74,-1,0,-1)&lt;B75</f>
        <v>1</v>
      </c>
    </row>
    <row r="76" spans="1:14" x14ac:dyDescent="0.4">
      <c r="A76" t="s">
        <v>9</v>
      </c>
      <c r="B76">
        <v>3</v>
      </c>
      <c r="C76">
        <v>0</v>
      </c>
      <c r="D76">
        <v>0</v>
      </c>
      <c r="E76">
        <v>0</v>
      </c>
      <c r="F76">
        <v>720000</v>
      </c>
      <c r="G76">
        <v>0</v>
      </c>
      <c r="H76">
        <v>0</v>
      </c>
      <c r="I76">
        <v>0</v>
      </c>
      <c r="J76">
        <v>0</v>
      </c>
      <c r="K76">
        <v>720000</v>
      </c>
      <c r="L76">
        <v>74</v>
      </c>
      <c r="M76">
        <v>4</v>
      </c>
      <c r="N76" t="b" cm="1">
        <f t="array" ref="N76">_xlfn.XLOOKUP($A76,$A$1:$A75,$B$1:$B75,-1,0,-1)&lt;B76</f>
        <v>1</v>
      </c>
    </row>
    <row r="77" spans="1:14" x14ac:dyDescent="0.4">
      <c r="A77" t="s">
        <v>24</v>
      </c>
      <c r="B77">
        <v>8</v>
      </c>
      <c r="C77">
        <v>0</v>
      </c>
      <c r="D77">
        <v>3280000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3280000</v>
      </c>
      <c r="L77">
        <v>75</v>
      </c>
      <c r="M77">
        <v>98</v>
      </c>
      <c r="N77" t="b" cm="1">
        <f t="array" ref="N77">_xlfn.XLOOKUP($A77,$A$1:$A76,$B$1:$B76,-1,0,-1)&lt;B77</f>
        <v>1</v>
      </c>
    </row>
    <row r="78" spans="1:14" x14ac:dyDescent="0.4">
      <c r="A78" t="s">
        <v>10</v>
      </c>
      <c r="B78">
        <v>7</v>
      </c>
      <c r="C78">
        <v>0</v>
      </c>
      <c r="D78">
        <v>3910000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3910000</v>
      </c>
      <c r="L78">
        <v>76</v>
      </c>
      <c r="M78">
        <v>14</v>
      </c>
      <c r="N78" t="b" cm="1">
        <f t="array" ref="N78">_xlfn.XLOOKUP($A78,$A$1:$A77,$B$1:$B77,-1,0,-1)&lt;B78</f>
        <v>1</v>
      </c>
    </row>
    <row r="79" spans="1:14" x14ac:dyDescent="0.4">
      <c r="A79" t="s">
        <v>20</v>
      </c>
      <c r="B79">
        <v>6</v>
      </c>
      <c r="C79">
        <v>0</v>
      </c>
      <c r="D79">
        <v>0</v>
      </c>
      <c r="E79">
        <v>1020000</v>
      </c>
      <c r="F79">
        <v>0</v>
      </c>
      <c r="G79">
        <v>0</v>
      </c>
      <c r="H79">
        <v>0</v>
      </c>
      <c r="I79">
        <v>0</v>
      </c>
      <c r="J79">
        <v>0</v>
      </c>
      <c r="K79">
        <v>1020000</v>
      </c>
      <c r="L79">
        <v>77</v>
      </c>
      <c r="M79">
        <v>70</v>
      </c>
      <c r="N79" t="b" cm="1">
        <f t="array" ref="N79">_xlfn.XLOOKUP($A79,$A$1:$A78,$B$1:$B78,-1,0,-1)&lt;B79</f>
        <v>1</v>
      </c>
    </row>
    <row r="80" spans="1:14" x14ac:dyDescent="0.4">
      <c r="A80" t="s">
        <v>20</v>
      </c>
      <c r="B80">
        <v>7</v>
      </c>
      <c r="C80">
        <v>0</v>
      </c>
      <c r="D80">
        <v>0</v>
      </c>
      <c r="E80">
        <v>4100000</v>
      </c>
      <c r="F80">
        <v>0</v>
      </c>
      <c r="G80">
        <v>0</v>
      </c>
      <c r="H80">
        <v>0</v>
      </c>
      <c r="I80">
        <v>0</v>
      </c>
      <c r="J80">
        <v>0</v>
      </c>
      <c r="K80">
        <v>4100000</v>
      </c>
      <c r="L80">
        <v>78</v>
      </c>
      <c r="M80">
        <v>71</v>
      </c>
      <c r="N80" t="b" cm="1">
        <f t="array" ref="N80">_xlfn.XLOOKUP($A80,$A$1:$A79,$B$1:$B79,-1,0,-1)&lt;B80</f>
        <v>1</v>
      </c>
    </row>
    <row r="81" spans="1:14" x14ac:dyDescent="0.4">
      <c r="A81" t="s">
        <v>12</v>
      </c>
      <c r="B81">
        <v>8</v>
      </c>
      <c r="C81">
        <v>0</v>
      </c>
      <c r="D81">
        <v>0</v>
      </c>
      <c r="E81">
        <v>0</v>
      </c>
      <c r="F81">
        <v>4100000</v>
      </c>
      <c r="G81">
        <v>0</v>
      </c>
      <c r="H81">
        <v>0</v>
      </c>
      <c r="I81">
        <v>0</v>
      </c>
      <c r="J81">
        <v>0</v>
      </c>
      <c r="K81">
        <v>4100000</v>
      </c>
      <c r="L81">
        <v>79</v>
      </c>
      <c r="M81">
        <v>31</v>
      </c>
      <c r="N81" t="b" cm="1">
        <f t="array" ref="N81">_xlfn.XLOOKUP($A81,$A$1:$A80,$B$1:$B80,-1,0,-1)&lt;B81</f>
        <v>1</v>
      </c>
    </row>
    <row r="82" spans="1:14" x14ac:dyDescent="0.4">
      <c r="A82" t="s">
        <v>9</v>
      </c>
      <c r="B82">
        <v>4</v>
      </c>
      <c r="C82">
        <v>0</v>
      </c>
      <c r="D82">
        <v>0</v>
      </c>
      <c r="E82">
        <v>0</v>
      </c>
      <c r="F82">
        <v>4320000</v>
      </c>
      <c r="G82">
        <v>0</v>
      </c>
      <c r="H82">
        <v>0</v>
      </c>
      <c r="I82">
        <v>0</v>
      </c>
      <c r="J82">
        <v>0</v>
      </c>
      <c r="K82">
        <v>4320000</v>
      </c>
      <c r="L82">
        <v>80</v>
      </c>
      <c r="M82">
        <v>5</v>
      </c>
      <c r="N82" t="b" cm="1">
        <f t="array" ref="N82">_xlfn.XLOOKUP($A82,$A$1:$A81,$B$1:$B81,-1,0,-1)&lt;B82</f>
        <v>1</v>
      </c>
    </row>
    <row r="83" spans="1:14" x14ac:dyDescent="0.4">
      <c r="A83" t="s">
        <v>11</v>
      </c>
      <c r="B83">
        <v>3</v>
      </c>
      <c r="C83">
        <v>0</v>
      </c>
      <c r="D83">
        <v>0</v>
      </c>
      <c r="E83">
        <v>0</v>
      </c>
      <c r="F83">
        <v>0</v>
      </c>
      <c r="G83">
        <v>432000</v>
      </c>
      <c r="H83">
        <v>0</v>
      </c>
      <c r="I83">
        <v>0</v>
      </c>
      <c r="J83">
        <v>0</v>
      </c>
      <c r="K83">
        <v>432000</v>
      </c>
      <c r="L83">
        <v>81</v>
      </c>
      <c r="M83">
        <v>20</v>
      </c>
      <c r="N83" t="b" cm="1">
        <f t="array" ref="N83">_xlfn.XLOOKUP($A83,$A$1:$A82,$B$1:$B82,-1,0,-1)&lt;B83</f>
        <v>1</v>
      </c>
    </row>
    <row r="84" spans="1:14" x14ac:dyDescent="0.4">
      <c r="A84" t="s">
        <v>19</v>
      </c>
      <c r="B84">
        <v>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1250000</v>
      </c>
      <c r="J84">
        <v>0</v>
      </c>
      <c r="K84">
        <v>1250000</v>
      </c>
      <c r="L84">
        <v>82</v>
      </c>
      <c r="M84">
        <v>63</v>
      </c>
      <c r="N84" t="b" cm="1">
        <f t="array" ref="N84">_xlfn.XLOOKUP($A84,$A$1:$A83,$B$1:$B83,-1,0,-1)&lt;B84</f>
        <v>1</v>
      </c>
    </row>
    <row r="85" spans="1:14" x14ac:dyDescent="0.4">
      <c r="A85" t="s">
        <v>14</v>
      </c>
      <c r="B85">
        <v>7</v>
      </c>
      <c r="C85">
        <v>0</v>
      </c>
      <c r="D85">
        <v>1560000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1560000</v>
      </c>
      <c r="L85">
        <v>83</v>
      </c>
      <c r="M85">
        <v>43</v>
      </c>
      <c r="N85" t="b" cm="1">
        <f t="array" ref="N85">_xlfn.XLOOKUP($A85,$A$1:$A84,$B$1:$B84,-1,0,-1)&lt;B85</f>
        <v>1</v>
      </c>
    </row>
    <row r="86" spans="1:14" x14ac:dyDescent="0.4">
      <c r="A86" t="s">
        <v>23</v>
      </c>
      <c r="B86">
        <v>8</v>
      </c>
      <c r="C86">
        <v>4920000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4920000</v>
      </c>
      <c r="L86">
        <v>84</v>
      </c>
      <c r="M86">
        <v>88</v>
      </c>
      <c r="N86" t="b" cm="1">
        <f t="array" ref="N86">_xlfn.XLOOKUP($A86,$A$1:$A85,$B$1:$B85,-1,0,-1)&lt;B86</f>
        <v>1</v>
      </c>
    </row>
    <row r="87" spans="1:14" x14ac:dyDescent="0.4">
      <c r="A87" t="s">
        <v>14</v>
      </c>
      <c r="B87">
        <v>8</v>
      </c>
      <c r="C87">
        <v>0</v>
      </c>
      <c r="D87">
        <v>7810000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7810000</v>
      </c>
      <c r="L87">
        <v>85</v>
      </c>
      <c r="M87">
        <v>44</v>
      </c>
      <c r="N87" t="b" cm="1">
        <f t="array" ref="N87">_xlfn.XLOOKUP($A87,$A$1:$A86,$B$1:$B86,-1,0,-1)&lt;B87</f>
        <v>1</v>
      </c>
    </row>
    <row r="88" spans="1:14" x14ac:dyDescent="0.4">
      <c r="A88" t="s">
        <v>23</v>
      </c>
      <c r="B88">
        <v>9</v>
      </c>
      <c r="C88">
        <v>19700000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19700000</v>
      </c>
      <c r="L88">
        <v>86</v>
      </c>
      <c r="M88">
        <v>89</v>
      </c>
      <c r="N88" t="b" cm="1">
        <f t="array" ref="N88">_xlfn.XLOOKUP($A88,$A$1:$A87,$B$1:$B87,-1,0,-1)&lt;B88</f>
        <v>1</v>
      </c>
    </row>
    <row r="89" spans="1:14" x14ac:dyDescent="0.4">
      <c r="A89" t="s">
        <v>10</v>
      </c>
      <c r="B89">
        <v>8</v>
      </c>
      <c r="C89">
        <v>0</v>
      </c>
      <c r="D89">
        <v>19500000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19500000</v>
      </c>
      <c r="L89">
        <v>87</v>
      </c>
      <c r="M89">
        <v>15</v>
      </c>
      <c r="N89" t="b" cm="1">
        <f t="array" ref="N89">_xlfn.XLOOKUP($A89,$A$1:$A88,$B$1:$B88,-1,0,-1)&lt;B89</f>
        <v>1</v>
      </c>
    </row>
    <row r="90" spans="1:14" x14ac:dyDescent="0.4">
      <c r="A90" t="s">
        <v>10</v>
      </c>
      <c r="B90">
        <v>9</v>
      </c>
      <c r="C90">
        <v>0</v>
      </c>
      <c r="D90">
        <v>97700000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97700000</v>
      </c>
      <c r="L90">
        <v>88</v>
      </c>
      <c r="M90">
        <v>16</v>
      </c>
      <c r="N90" t="b" cm="1">
        <f t="array" ref="N90">_xlfn.XLOOKUP($A90,$A$1:$A89,$B$1:$B89,-1,0,-1)&lt;B90</f>
        <v>1</v>
      </c>
    </row>
    <row r="91" spans="1:14" x14ac:dyDescent="0.4">
      <c r="A91" t="s">
        <v>20</v>
      </c>
      <c r="B91">
        <v>8</v>
      </c>
      <c r="C91">
        <v>0</v>
      </c>
      <c r="D91">
        <v>0</v>
      </c>
      <c r="E91">
        <v>16400000</v>
      </c>
      <c r="F91">
        <v>0</v>
      </c>
      <c r="G91">
        <v>0</v>
      </c>
      <c r="H91">
        <v>0</v>
      </c>
      <c r="I91">
        <v>0</v>
      </c>
      <c r="J91">
        <v>0</v>
      </c>
      <c r="K91">
        <v>16400000</v>
      </c>
      <c r="L91">
        <v>89</v>
      </c>
      <c r="M91">
        <v>72</v>
      </c>
      <c r="N91" t="b" cm="1">
        <f t="array" ref="N91">_xlfn.XLOOKUP($A91,$A$1:$A90,$B$1:$B90,-1,0,-1)&lt;B91</f>
        <v>1</v>
      </c>
    </row>
    <row r="92" spans="1:14" x14ac:dyDescent="0.4">
      <c r="A92" t="s">
        <v>20</v>
      </c>
      <c r="B92">
        <v>9</v>
      </c>
      <c r="C92">
        <v>0</v>
      </c>
      <c r="D92">
        <v>0</v>
      </c>
      <c r="E92">
        <v>65500000</v>
      </c>
      <c r="F92">
        <v>0</v>
      </c>
      <c r="G92">
        <v>0</v>
      </c>
      <c r="H92">
        <v>0</v>
      </c>
      <c r="I92">
        <v>0</v>
      </c>
      <c r="J92">
        <v>0</v>
      </c>
      <c r="K92">
        <v>65500000</v>
      </c>
      <c r="L92">
        <v>90</v>
      </c>
      <c r="M92">
        <v>73</v>
      </c>
      <c r="N92" t="b" cm="1">
        <f t="array" ref="N92">_xlfn.XLOOKUP($A92,$A$1:$A91,$B$1:$B91,-1,0,-1)&lt;B92</f>
        <v>1</v>
      </c>
    </row>
    <row r="93" spans="1:14" x14ac:dyDescent="0.4">
      <c r="A93" t="s">
        <v>9</v>
      </c>
      <c r="B93">
        <v>5</v>
      </c>
      <c r="C93">
        <v>0</v>
      </c>
      <c r="D93">
        <v>0</v>
      </c>
      <c r="E93">
        <v>0</v>
      </c>
      <c r="F93">
        <v>25900000</v>
      </c>
      <c r="G93">
        <v>0</v>
      </c>
      <c r="H93">
        <v>0</v>
      </c>
      <c r="I93">
        <v>0</v>
      </c>
      <c r="J93">
        <v>0</v>
      </c>
      <c r="K93">
        <v>25900000</v>
      </c>
      <c r="L93">
        <v>91</v>
      </c>
      <c r="M93">
        <v>6</v>
      </c>
      <c r="N93" t="b" cm="1">
        <f t="array" ref="N93">_xlfn.XLOOKUP($A93,$A$1:$A92,$B$1:$B92,-1,0,-1)&lt;B93</f>
        <v>1</v>
      </c>
    </row>
    <row r="94" spans="1:14" x14ac:dyDescent="0.4">
      <c r="A94" t="s">
        <v>11</v>
      </c>
      <c r="B94">
        <v>4</v>
      </c>
      <c r="C94">
        <v>0</v>
      </c>
      <c r="D94">
        <v>0</v>
      </c>
      <c r="E94">
        <v>0</v>
      </c>
      <c r="F94">
        <v>0</v>
      </c>
      <c r="G94">
        <v>2590000</v>
      </c>
      <c r="H94">
        <v>0</v>
      </c>
      <c r="I94">
        <v>0</v>
      </c>
      <c r="J94">
        <v>0</v>
      </c>
      <c r="K94">
        <v>2590000</v>
      </c>
      <c r="L94">
        <v>92</v>
      </c>
      <c r="M94">
        <v>21</v>
      </c>
      <c r="N94" t="b" cm="1">
        <f t="array" ref="N94">_xlfn.XLOOKUP($A94,$A$1:$A93,$B$1:$B93,-1,0,-1)&lt;B94</f>
        <v>1</v>
      </c>
    </row>
    <row r="95" spans="1:14" x14ac:dyDescent="0.4">
      <c r="A95" t="s">
        <v>16</v>
      </c>
      <c r="B95">
        <v>4</v>
      </c>
      <c r="C95">
        <v>0</v>
      </c>
      <c r="D95">
        <v>0</v>
      </c>
      <c r="E95">
        <v>0</v>
      </c>
      <c r="F95">
        <v>0</v>
      </c>
      <c r="G95">
        <v>2590000</v>
      </c>
      <c r="H95">
        <v>0</v>
      </c>
      <c r="I95">
        <v>0</v>
      </c>
      <c r="J95">
        <v>0</v>
      </c>
      <c r="K95">
        <v>2590000</v>
      </c>
      <c r="L95">
        <v>93</v>
      </c>
      <c r="M95">
        <v>51</v>
      </c>
      <c r="N95" t="b" cm="1">
        <f t="array" ref="N95">_xlfn.XLOOKUP($A95,$A$1:$A94,$B$1:$B94,-1,0,-1)&lt;B95</f>
        <v>1</v>
      </c>
    </row>
    <row r="96" spans="1:14" x14ac:dyDescent="0.4">
      <c r="A96" t="s">
        <v>11</v>
      </c>
      <c r="B96">
        <v>5</v>
      </c>
      <c r="C96">
        <v>0</v>
      </c>
      <c r="D96">
        <v>0</v>
      </c>
      <c r="E96">
        <v>0</v>
      </c>
      <c r="F96">
        <v>0</v>
      </c>
      <c r="G96">
        <v>15600000</v>
      </c>
      <c r="H96">
        <v>0</v>
      </c>
      <c r="I96">
        <v>0</v>
      </c>
      <c r="J96">
        <v>0</v>
      </c>
      <c r="K96">
        <v>15600000</v>
      </c>
      <c r="L96">
        <v>94</v>
      </c>
      <c r="M96">
        <v>22</v>
      </c>
      <c r="N96" t="b" cm="1">
        <f t="array" ref="N96">_xlfn.XLOOKUP($A96,$A$1:$A95,$B$1:$B95,-1,0,-1)&lt;B96</f>
        <v>1</v>
      </c>
    </row>
    <row r="97" spans="1:14" x14ac:dyDescent="0.4">
      <c r="A97" t="s">
        <v>16</v>
      </c>
      <c r="B97">
        <v>5</v>
      </c>
      <c r="C97">
        <v>0</v>
      </c>
      <c r="D97">
        <v>0</v>
      </c>
      <c r="E97">
        <v>0</v>
      </c>
      <c r="F97">
        <v>0</v>
      </c>
      <c r="G97">
        <v>15600000</v>
      </c>
      <c r="H97">
        <v>0</v>
      </c>
      <c r="I97">
        <v>0</v>
      </c>
      <c r="J97">
        <v>0</v>
      </c>
      <c r="K97">
        <v>15600000</v>
      </c>
      <c r="L97">
        <v>95</v>
      </c>
      <c r="M97">
        <v>52</v>
      </c>
      <c r="N97" t="b" cm="1">
        <f t="array" ref="N97">_xlfn.XLOOKUP($A97,$A$1:$A96,$B$1:$B96,-1,0,-1)&lt;B97</f>
        <v>1</v>
      </c>
    </row>
    <row r="98" spans="1:14" x14ac:dyDescent="0.4">
      <c r="A98" t="s">
        <v>15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1000000</v>
      </c>
      <c r="I98">
        <v>2000000</v>
      </c>
      <c r="J98">
        <v>0</v>
      </c>
      <c r="K98">
        <v>3000000</v>
      </c>
      <c r="L98">
        <v>96</v>
      </c>
      <c r="M98">
        <v>46</v>
      </c>
      <c r="N98" t="b" cm="1">
        <f t="array" ref="N98">_xlfn.XLOOKUP($A98,$A$1:$A97,$B$1:$B97,-1,0,-1)&lt;B98</f>
        <v>1</v>
      </c>
    </row>
    <row r="99" spans="1:14" x14ac:dyDescent="0.4">
      <c r="A99" t="s">
        <v>14</v>
      </c>
      <c r="B99">
        <v>9</v>
      </c>
      <c r="C99">
        <v>0</v>
      </c>
      <c r="D99">
        <v>39100000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39100000</v>
      </c>
      <c r="L99">
        <v>1000</v>
      </c>
      <c r="M99">
        <v>45</v>
      </c>
      <c r="N99" t="b" cm="1">
        <f t="array" ref="N99">_xlfn.XLOOKUP($A99,$A$1:$A98,$B$1:$B98,-1,0,-1)&lt;B99</f>
        <v>1</v>
      </c>
    </row>
  </sheetData>
  <autoFilter ref="A1:N99" xr:uid="{876A1CAB-E595-4E15-A51F-59E58A23057E}">
    <sortState xmlns:xlrd2="http://schemas.microsoft.com/office/spreadsheetml/2017/richdata2" ref="A2:N99">
      <sortCondition ref="L1:L99"/>
    </sortState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unlock_list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Keitaro Wakabayashi</dc:creator>
  <cp:lastModifiedBy>Keitaro Wakabayashi</cp:lastModifiedBy>
  <dcterms:created xsi:type="dcterms:W3CDTF">2025-11-08T17:34:40Z</dcterms:created>
  <dcterms:modified xsi:type="dcterms:W3CDTF">2025-11-08T20:03:03Z</dcterms:modified>
</cp:coreProperties>
</file>